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\Documents\excel analise\Dio\case\"/>
    </mc:Choice>
  </mc:AlternateContent>
  <xr:revisionPtr revIDLastSave="0" documentId="13_ncr:1_{810B78B3-5D2A-4A96-96FF-CB7B342AB4BC}" xr6:coauthVersionLast="47" xr6:coauthVersionMax="47" xr10:uidLastSave="{00000000-0000-0000-0000-000000000000}"/>
  <bookViews>
    <workbookView xWindow="-120" yWindow="-120" windowWidth="29040" windowHeight="15720" tabRatio="3" xr2:uid="{CA238631-717D-4BBF-9D70-03C0B19644EA}"/>
  </bookViews>
  <sheets>
    <sheet name="Planilha1" sheetId="1" r:id="rId1"/>
    <sheet name="Planilha2" sheetId="2" r:id="rId2"/>
  </sheets>
  <definedNames>
    <definedName name="_xlchart.v1.0" hidden="1">Planilha1!$B$40:$B$47</definedName>
    <definedName name="_xlchart.v1.1" hidden="1">Planilha1!$C$39</definedName>
    <definedName name="_xlchart.v1.17" hidden="1">Planilha1!$B$40:$B$46</definedName>
    <definedName name="_xlchart.v1.18" hidden="1">Planilha1!$C$39</definedName>
    <definedName name="_xlchart.v1.19" hidden="1">Planilha1!$C$40:$C$46</definedName>
    <definedName name="_xlchart.v1.2" hidden="1">Planilha1!$C$40:$C$47</definedName>
    <definedName name="_xlchart.v1.3" hidden="1">Planilha1!$D$39</definedName>
    <definedName name="_xlchart.v1.4" hidden="1">Planilha1!$D$40:$D$47</definedName>
    <definedName name="_xlchart.v2.10" hidden="1">Planilha1!$C$39</definedName>
    <definedName name="_xlchart.v2.11" hidden="1">Planilha1!$C$39</definedName>
    <definedName name="_xlchart.v2.12" hidden="1">Planilha1!$C$39</definedName>
    <definedName name="_xlchart.v2.13" hidden="1">Planilha1!$C$40:$C$46</definedName>
    <definedName name="_xlchart.v2.14" hidden="1">Planilha1!$C$40:$C$46</definedName>
    <definedName name="_xlchart.v2.15" hidden="1">Planilha1!$C$40:$C$46</definedName>
    <definedName name="_xlchart.v2.16" hidden="1">Planilha1!$C$40:$C$46</definedName>
    <definedName name="_xlchart.v2.20" hidden="1">Planilha1!$B$40:$B$46</definedName>
    <definedName name="_xlchart.v2.21" hidden="1">Planilha1!$B$40:$B$46</definedName>
    <definedName name="_xlchart.v2.22" hidden="1">Planilha1!$B$40:$B$46</definedName>
    <definedName name="_xlchart.v2.23" hidden="1">Planilha1!$B$40:$B$46</definedName>
    <definedName name="_xlchart.v2.24" hidden="1">Planilha1!$C$39</definedName>
    <definedName name="_xlchart.v2.25" hidden="1">Planilha1!$C$40:$C$46</definedName>
    <definedName name="_xlchart.v2.26" hidden="1">Planilha1!$C$39</definedName>
    <definedName name="_xlchart.v2.27" hidden="1">Planilha1!$C$39</definedName>
    <definedName name="_xlchart.v2.28" hidden="1">Planilha1!$C$39</definedName>
    <definedName name="_xlchart.v2.29" hidden="1">Planilha1!$C$40:$C$46</definedName>
    <definedName name="_xlchart.v2.30" hidden="1">Planilha1!$C$40:$C$46</definedName>
    <definedName name="_xlchart.v2.31" hidden="1">Planilha1!$C$40:$C$46</definedName>
    <definedName name="_xlchart.v2.5" hidden="1">Planilha1!$B$40:$B$46</definedName>
    <definedName name="_xlchart.v2.6" hidden="1">Planilha1!$B$40:$B$46</definedName>
    <definedName name="_xlchart.v2.7" hidden="1">Planilha1!$B$40:$B$46</definedName>
    <definedName name="_xlchart.v2.8" hidden="1">Planilha1!$B$40:$B$46</definedName>
    <definedName name="_xlchart.v2.9" hidden="1">Planilha1!$C$39</definedName>
    <definedName name="aporte">Planilha1!$C$21</definedName>
    <definedName name="patrimonio">Planilha1!$C$24</definedName>
    <definedName name="qtd_anos">Planilha1!$C$22</definedName>
    <definedName name="rendimento_carteira">Planilha1!$D$17</definedName>
    <definedName name="salario">Planilha1!$D$16</definedName>
    <definedName name="sugestao_investimento">Planilha1!$D$18</definedName>
    <definedName name="taxa_mensal">Planilha1!$C$23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1" i="1" l="1"/>
  <c r="C42" i="1"/>
  <c r="C43" i="1"/>
  <c r="C44" i="1"/>
  <c r="C45" i="1"/>
  <c r="C46" i="1"/>
  <c r="C40" i="1"/>
  <c r="J4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9" i="2"/>
  <c r="A3" i="2"/>
  <c r="A4" i="2"/>
  <c r="A5" i="2"/>
  <c r="A6" i="2"/>
  <c r="A7" i="2"/>
  <c r="A8" i="2"/>
  <c r="A2" i="2"/>
  <c r="C37" i="1"/>
  <c r="D41" i="1" s="1"/>
  <c r="C24" i="1"/>
  <c r="C25" i="1" s="1"/>
  <c r="D18" i="1"/>
  <c r="C29" i="1"/>
  <c r="D29" i="1" s="1"/>
  <c r="C30" i="1"/>
  <c r="D30" i="1" s="1"/>
  <c r="C31" i="1"/>
  <c r="D31" i="1" s="1"/>
  <c r="C32" i="1"/>
  <c r="D32" i="1" s="1"/>
  <c r="C28" i="1"/>
  <c r="D28" i="1" s="1"/>
  <c r="D43" i="1" l="1"/>
  <c r="D46" i="1"/>
  <c r="D44" i="1"/>
  <c r="D42" i="1"/>
  <c r="D45" i="1"/>
  <c r="D40" i="1"/>
  <c r="D47" i="1" l="1"/>
</calcChain>
</file>

<file path=xl/sharedStrings.xml><?xml version="1.0" encoding="utf-8"?>
<sst xmlns="http://schemas.openxmlformats.org/spreadsheetml/2006/main" count="79" uniqueCount="36">
  <si>
    <t xml:space="preserve"> Quanto investir por mes?</t>
  </si>
  <si>
    <t xml:space="preserve"> Por quantos anos?</t>
  </si>
  <si>
    <t xml:space="preserve"> Patrimonio acumulado?</t>
  </si>
  <si>
    <t xml:space="preserve"> Dividendos Mensais?</t>
  </si>
  <si>
    <t>Taxa de Rendimento Mensal?</t>
  </si>
  <si>
    <t>Quantos em 2 anos?</t>
  </si>
  <si>
    <t>Quantos em 5 anos?</t>
  </si>
  <si>
    <t>Quantos em 10 anos?</t>
  </si>
  <si>
    <t>Quantos em 20 anos?</t>
  </si>
  <si>
    <t>Quantos em 30 anos?</t>
  </si>
  <si>
    <t>Rendimento Carteira</t>
  </si>
  <si>
    <t>Salario</t>
  </si>
  <si>
    <t>Sugestao de Investimento</t>
  </si>
  <si>
    <t>CONFIGURACOES</t>
  </si>
  <si>
    <t>INVESTIMENTO MENSAL</t>
  </si>
  <si>
    <t>DIVIDENDOS</t>
  </si>
  <si>
    <t>Patrimonio</t>
  </si>
  <si>
    <t>Cenarios</t>
  </si>
  <si>
    <t>Perfil</t>
  </si>
  <si>
    <t>Agressivo</t>
  </si>
  <si>
    <t>Valor a ser Investido por Mes</t>
  </si>
  <si>
    <t>Tipo de Investimento</t>
  </si>
  <si>
    <t>Percentual Sugerido</t>
  </si>
  <si>
    <t>Valores</t>
  </si>
  <si>
    <t>Renda Fixa</t>
  </si>
  <si>
    <t>FII - Papel</t>
  </si>
  <si>
    <t>FII- Tijolo</t>
  </si>
  <si>
    <t>FII - Hibridos</t>
  </si>
  <si>
    <t>FII - Fofs</t>
  </si>
  <si>
    <t>FII - Desenvolvimento</t>
  </si>
  <si>
    <t>FII - Hotelarias</t>
  </si>
  <si>
    <t>Conservador</t>
  </si>
  <si>
    <t>%</t>
  </si>
  <si>
    <t>Chave</t>
  </si>
  <si>
    <t>Moderado</t>
  </si>
  <si>
    <t>Moderado-FII- 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</si>
</sst>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 style="medium">
        <color indexed="64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medium">
        <color indexed="64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medium">
        <color indexed="64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 style="hair">
        <color theme="0" tint="-0.14996795556505021"/>
      </bottom>
      <diagonal/>
    </border>
    <border>
      <left/>
      <right style="hair">
        <color theme="0" tint="-0.14996795556505021"/>
      </right>
      <top style="medium">
        <color indexed="64"/>
      </top>
      <bottom style="hair">
        <color theme="0" tint="-0.14996795556505021"/>
      </bottom>
      <diagonal/>
    </border>
    <border>
      <left style="medium">
        <color indexed="64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/>
      <top style="hair">
        <color theme="0" tint="-0.14996795556505021"/>
      </top>
      <bottom style="medium">
        <color indexed="64"/>
      </bottom>
      <diagonal/>
    </border>
    <border>
      <left/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53">
    <xf numFmtId="0" fontId="0" fillId="0" borderId="0" xfId="0"/>
    <xf numFmtId="0" fontId="3" fillId="0" borderId="0" xfId="0" applyFont="1"/>
    <xf numFmtId="164" fontId="2" fillId="0" borderId="13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8" fontId="2" fillId="3" borderId="8" xfId="0" applyNumberFormat="1" applyFont="1" applyFill="1" applyBorder="1" applyAlignment="1">
      <alignment horizontal="center"/>
    </xf>
    <xf numFmtId="8" fontId="2" fillId="3" borderId="1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vertical="center"/>
    </xf>
    <xf numFmtId="165" fontId="0" fillId="0" borderId="8" xfId="0" applyNumberFormat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8" fontId="0" fillId="3" borderId="4" xfId="0" applyNumberFormat="1" applyFill="1" applyBorder="1" applyAlignment="1">
      <alignment horizontal="center"/>
    </xf>
    <xf numFmtId="8" fontId="0" fillId="3" borderId="7" xfId="0" applyNumberFormat="1" applyFill="1" applyBorder="1" applyAlignment="1">
      <alignment horizontal="center"/>
    </xf>
    <xf numFmtId="8" fontId="0" fillId="3" borderId="10" xfId="0" applyNumberFormat="1" applyFill="1" applyBorder="1" applyAlignment="1">
      <alignment horizontal="center"/>
    </xf>
    <xf numFmtId="8" fontId="0" fillId="3" borderId="5" xfId="0" applyNumberFormat="1" applyFill="1" applyBorder="1" applyAlignment="1">
      <alignment horizontal="center"/>
    </xf>
    <xf numFmtId="8" fontId="0" fillId="3" borderId="8" xfId="0" applyNumberFormat="1" applyFill="1" applyBorder="1" applyAlignment="1">
      <alignment horizontal="center"/>
    </xf>
    <xf numFmtId="8" fontId="0" fillId="3" borderId="11" xfId="0" applyNumberFormat="1" applyFill="1" applyBorder="1" applyAlignment="1">
      <alignment horizontal="center"/>
    </xf>
    <xf numFmtId="0" fontId="8" fillId="6" borderId="15" xfId="0" applyFont="1" applyFill="1" applyBorder="1" applyAlignment="1">
      <alignment horizontal="left"/>
    </xf>
    <xf numFmtId="0" fontId="8" fillId="6" borderId="16" xfId="0" applyFont="1" applyFill="1" applyBorder="1" applyAlignment="1">
      <alignment horizontal="left"/>
    </xf>
    <xf numFmtId="0" fontId="8" fillId="6" borderId="17" xfId="0" applyFont="1" applyFill="1" applyBorder="1" applyAlignment="1">
      <alignment horizontal="left"/>
    </xf>
    <xf numFmtId="0" fontId="8" fillId="6" borderId="14" xfId="0" applyFont="1" applyFill="1" applyBorder="1" applyAlignment="1">
      <alignment horizontal="left"/>
    </xf>
    <xf numFmtId="0" fontId="8" fillId="6" borderId="18" xfId="0" applyFont="1" applyFill="1" applyBorder="1" applyAlignment="1">
      <alignment horizontal="left"/>
    </xf>
    <xf numFmtId="0" fontId="8" fillId="6" borderId="19" xfId="0" applyFont="1" applyFill="1" applyBorder="1" applyAlignment="1">
      <alignment horizontal="left"/>
    </xf>
    <xf numFmtId="0" fontId="8" fillId="0" borderId="12" xfId="0" applyFont="1" applyBorder="1"/>
    <xf numFmtId="0" fontId="8" fillId="0" borderId="6" xfId="0" applyFont="1" applyBorder="1"/>
    <xf numFmtId="0" fontId="8" fillId="3" borderId="3" xfId="0" applyFont="1" applyFill="1" applyBorder="1"/>
    <xf numFmtId="0" fontId="8" fillId="3" borderId="6" xfId="0" applyFont="1" applyFill="1" applyBorder="1"/>
    <xf numFmtId="0" fontId="8" fillId="3" borderId="9" xfId="0" applyFont="1" applyFill="1" applyBorder="1"/>
    <xf numFmtId="0" fontId="9" fillId="6" borderId="6" xfId="0" applyFont="1" applyFill="1" applyBorder="1"/>
    <xf numFmtId="0" fontId="9" fillId="6" borderId="9" xfId="0" applyFont="1" applyFill="1" applyBorder="1"/>
    <xf numFmtId="0" fontId="4" fillId="2" borderId="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164" fontId="0" fillId="6" borderId="11" xfId="0" applyNumberFormat="1" applyFill="1" applyBorder="1" applyAlignment="1">
      <alignment horizontal="center"/>
    </xf>
    <xf numFmtId="0" fontId="7" fillId="5" borderId="0" xfId="3"/>
    <xf numFmtId="0" fontId="0" fillId="6" borderId="0" xfId="0" applyFill="1"/>
    <xf numFmtId="164" fontId="0" fillId="6" borderId="0" xfId="0" applyNumberFormat="1" applyFill="1"/>
    <xf numFmtId="164" fontId="0" fillId="6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10" fillId="5" borderId="0" xfId="3" applyFont="1"/>
    <xf numFmtId="0" fontId="10" fillId="5" borderId="0" xfId="3" applyFont="1" applyAlignment="1">
      <alignment horizontal="center"/>
    </xf>
    <xf numFmtId="9" fontId="0" fillId="0" borderId="0" xfId="0" applyNumberFormat="1"/>
    <xf numFmtId="0" fontId="2" fillId="7" borderId="0" xfId="0" applyFont="1" applyFill="1" applyAlignment="1">
      <alignment horizontal="center"/>
    </xf>
    <xf numFmtId="0" fontId="0" fillId="7" borderId="0" xfId="0" applyFill="1"/>
    <xf numFmtId="164" fontId="0" fillId="7" borderId="0" xfId="0" applyNumberFormat="1" applyFill="1"/>
    <xf numFmtId="9" fontId="0" fillId="0" borderId="0" xfId="0" applyNumberForma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9" fontId="0" fillId="0" borderId="2" xfId="0" applyNumberFormat="1" applyBorder="1"/>
    <xf numFmtId="165" fontId="0" fillId="0" borderId="0" xfId="0" applyNumberFormat="1"/>
    <xf numFmtId="165" fontId="0" fillId="0" borderId="2" xfId="0" applyNumberFormat="1" applyBorder="1"/>
    <xf numFmtId="9" fontId="7" fillId="5" borderId="0" xfId="2" applyFont="1" applyFill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Tipo</a:t>
            </a:r>
            <a:r>
              <a:rPr lang="pt-BR" baseline="0"/>
              <a:t> de Investimentos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Planilha1!$B$40:$B$46</c:f>
              <c:strCache>
                <c:ptCount val="7"/>
                <c:pt idx="0">
                  <c:v>Renda Fixa</c:v>
                </c:pt>
                <c:pt idx="1">
                  <c:v>FII - Papel</c:v>
                </c:pt>
                <c:pt idx="2">
                  <c:v>FII- Tijolo</c:v>
                </c:pt>
                <c:pt idx="3">
                  <c:v>FII - Hibridos</c:v>
                </c:pt>
                <c:pt idx="4">
                  <c:v>FII - Fofs</c:v>
                </c:pt>
                <c:pt idx="5">
                  <c:v>FII - Desenvolvimento</c:v>
                </c:pt>
                <c:pt idx="6">
                  <c:v>FII - Hotelarias</c:v>
                </c:pt>
              </c:strCache>
            </c:strRef>
          </c:cat>
          <c:val>
            <c:numRef>
              <c:f>Planilha1!$C$40:$C$46</c:f>
              <c:numCache>
                <c:formatCode>0%</c:formatCode>
                <c:ptCount val="7"/>
                <c:pt idx="0">
                  <c:v>0.05</c:v>
                </c:pt>
                <c:pt idx="1">
                  <c:v>0.5</c:v>
                </c:pt>
                <c:pt idx="2">
                  <c:v>0.25</c:v>
                </c:pt>
                <c:pt idx="3">
                  <c:v>0.1</c:v>
                </c:pt>
                <c:pt idx="4">
                  <c:v>0.04</c:v>
                </c:pt>
                <c:pt idx="5">
                  <c:v>3.5000000000000003E-2</c:v>
                </c:pt>
                <c:pt idx="6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9-45C8-810C-28363E700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018032"/>
        <c:axId val="136022608"/>
      </c:barChart>
      <c:catAx>
        <c:axId val="13601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022608"/>
        <c:crosses val="autoZero"/>
        <c:auto val="1"/>
        <c:lblAlgn val="ctr"/>
        <c:lblOffset val="100"/>
        <c:noMultiLvlLbl val="0"/>
      </c:catAx>
      <c:valAx>
        <c:axId val="13602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01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609598</xdr:colOff>
      <xdr:row>0</xdr:row>
      <xdr:rowOff>161925</xdr:rowOff>
    </xdr:from>
    <xdr:to>
      <xdr:col>4</xdr:col>
      <xdr:colOff>485774</xdr:colOff>
      <xdr:row>12</xdr:row>
      <xdr:rowOff>180975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7E6C46A-F9D7-48EC-8037-52BD0D18C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598" y="161925"/>
          <a:ext cx="6000751" cy="2295525"/>
        </a:xfrm>
        <a:prstGeom prst="rect">
          <a:avLst/>
        </a:prstGeom>
      </xdr:spPr>
    </xdr:pic>
    <xdr:clientData/>
  </xdr:twoCellAnchor>
  <xdr:twoCellAnchor>
    <xdr:from>
      <xdr:col>1</xdr:col>
      <xdr:colOff>4762</xdr:colOff>
      <xdr:row>47</xdr:row>
      <xdr:rowOff>157162</xdr:rowOff>
    </xdr:from>
    <xdr:to>
      <xdr:col>3</xdr:col>
      <xdr:colOff>838200</xdr:colOff>
      <xdr:row>62</xdr:row>
      <xdr:rowOff>42862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9FBEAA8-E151-475B-AD9B-6D51469E7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CF26-DE7F-489B-AB2A-0BB0D6744FD8}">
  <dimension ref="A7:H76"/>
  <sheetViews>
    <sheetView showGridLines="0" showRowColHeaders="0" tabSelected="1" workbookViewId="0">
      <selection activeCell="B15" sqref="B15:C15"/>
    </sheetView>
  </sheetViews>
  <sheetFormatPr defaultColWidth="0" defaultRowHeight="15" x14ac:dyDescent="0.25"/>
  <cols>
    <col min="1" max="1" width="9.140625" customWidth="1"/>
    <col min="2" max="2" width="36.42578125" bestFit="1" customWidth="1"/>
    <col min="3" max="3" width="33" bestFit="1" customWidth="1"/>
    <col min="4" max="4" width="13.28515625" bestFit="1" customWidth="1"/>
    <col min="5" max="5" width="23.42578125" customWidth="1"/>
    <col min="6" max="6" width="8.7109375" hidden="1" customWidth="1"/>
    <col min="7" max="8" width="12.140625" hidden="1" customWidth="1"/>
    <col min="9" max="11" width="9.140625" hidden="1" customWidth="1"/>
    <col min="12" max="16384" width="9.140625" hidden="1"/>
  </cols>
  <sheetData>
    <row r="7" spans="2:4" ht="14.25" customHeight="1" x14ac:dyDescent="0.25"/>
    <row r="14" spans="2:4" ht="15.75" thickBot="1" x14ac:dyDescent="0.3"/>
    <row r="15" spans="2:4" ht="21.75" thickBot="1" x14ac:dyDescent="0.3">
      <c r="B15" s="32" t="s">
        <v>13</v>
      </c>
      <c r="C15" s="33"/>
      <c r="D15" s="7"/>
    </row>
    <row r="16" spans="2:4" ht="15.75" x14ac:dyDescent="0.25">
      <c r="B16" s="16" t="s">
        <v>11</v>
      </c>
      <c r="C16" s="17"/>
      <c r="D16" s="9">
        <v>4200</v>
      </c>
    </row>
    <row r="17" spans="2:4" ht="15.75" x14ac:dyDescent="0.25">
      <c r="B17" s="18" t="s">
        <v>10</v>
      </c>
      <c r="C17" s="19"/>
      <c r="D17" s="8">
        <v>6.0000000000000001E-3</v>
      </c>
    </row>
    <row r="18" spans="2:4" ht="16.5" thickBot="1" x14ac:dyDescent="0.3">
      <c r="B18" s="20" t="s">
        <v>12</v>
      </c>
      <c r="C18" s="21"/>
      <c r="D18" s="34">
        <f>D16*30%</f>
        <v>1260</v>
      </c>
    </row>
    <row r="20" spans="2:4" ht="19.5" thickBot="1" x14ac:dyDescent="0.3">
      <c r="B20" s="31" t="s">
        <v>14</v>
      </c>
      <c r="C20" s="31"/>
    </row>
    <row r="21" spans="2:4" ht="15.75" x14ac:dyDescent="0.25">
      <c r="B21" s="22" t="s">
        <v>0</v>
      </c>
      <c r="C21" s="2">
        <v>1260</v>
      </c>
    </row>
    <row r="22" spans="2:4" ht="15.75" x14ac:dyDescent="0.25">
      <c r="B22" s="23" t="s">
        <v>1</v>
      </c>
      <c r="C22" s="3">
        <v>10</v>
      </c>
    </row>
    <row r="23" spans="2:4" ht="15.75" x14ac:dyDescent="0.25">
      <c r="B23" s="23" t="s">
        <v>4</v>
      </c>
      <c r="C23" s="4">
        <v>1.0800000000000001E-2</v>
      </c>
    </row>
    <row r="24" spans="2:4" ht="15.75" x14ac:dyDescent="0.25">
      <c r="B24" s="27" t="s">
        <v>2</v>
      </c>
      <c r="C24" s="5">
        <f>FV(taxa_mensal,qtd_anos*12,aporte*-1)</f>
        <v>306756.65948104812</v>
      </c>
    </row>
    <row r="25" spans="2:4" ht="16.5" thickBot="1" x14ac:dyDescent="0.3">
      <c r="B25" s="28" t="s">
        <v>3</v>
      </c>
      <c r="C25" s="6">
        <f>patrimonio*rendimento_carteira</f>
        <v>1840.5399568862888</v>
      </c>
    </row>
    <row r="27" spans="2:4" ht="19.5" thickBot="1" x14ac:dyDescent="0.3">
      <c r="B27" s="30" t="s">
        <v>17</v>
      </c>
      <c r="C27" s="30" t="s">
        <v>16</v>
      </c>
      <c r="D27" s="29" t="s">
        <v>15</v>
      </c>
    </row>
    <row r="28" spans="2:4" ht="15.75" x14ac:dyDescent="0.25">
      <c r="B28" s="24" t="s">
        <v>5</v>
      </c>
      <c r="C28" s="10">
        <f>FV($C$23,$A33*12,$C$21*-1)</f>
        <v>34310.888212332808</v>
      </c>
      <c r="D28" s="13">
        <f>C28*rendimento_carteira</f>
        <v>205.86532927399685</v>
      </c>
    </row>
    <row r="29" spans="2:4" ht="15.75" x14ac:dyDescent="0.25">
      <c r="B29" s="25" t="s">
        <v>6</v>
      </c>
      <c r="C29" s="11">
        <f>FV($C$23,$A34*12,$C$21*-1)</f>
        <v>105593.06439266562</v>
      </c>
      <c r="D29" s="14">
        <f>C29*rendimento_carteira</f>
        <v>633.55838635599378</v>
      </c>
    </row>
    <row r="30" spans="2:4" ht="15.75" x14ac:dyDescent="0.25">
      <c r="B30" s="25" t="s">
        <v>7</v>
      </c>
      <c r="C30" s="11">
        <f>FV($C$23,$A35*12,$C$21*-1)</f>
        <v>306756.65948104812</v>
      </c>
      <c r="D30" s="14">
        <f>C30*rendimento_carteira</f>
        <v>1840.5399568862888</v>
      </c>
    </row>
    <row r="31" spans="2:4" ht="15.75" x14ac:dyDescent="0.25">
      <c r="B31" s="25" t="s">
        <v>8</v>
      </c>
      <c r="C31" s="11">
        <f>FV($C$23,$A36*12,$C$21*-1)</f>
        <v>1420081.7315561394</v>
      </c>
      <c r="D31" s="14">
        <f>C31*rendimento_carteira</f>
        <v>8520.4903893368373</v>
      </c>
    </row>
    <row r="32" spans="2:4" ht="16.5" thickBot="1" x14ac:dyDescent="0.3">
      <c r="B32" s="26" t="s">
        <v>9</v>
      </c>
      <c r="C32" s="12">
        <f>FV($C$23,$A37*12,$C$21*-1)</f>
        <v>5460720.0609991066</v>
      </c>
      <c r="D32" s="15">
        <f>C32*rendimento_carteira</f>
        <v>32764.320365994641</v>
      </c>
    </row>
    <row r="33" spans="1:4" x14ac:dyDescent="0.25">
      <c r="A33" s="1">
        <v>2</v>
      </c>
    </row>
    <row r="34" spans="1:4" x14ac:dyDescent="0.25">
      <c r="A34" s="1">
        <v>5</v>
      </c>
    </row>
    <row r="35" spans="1:4" x14ac:dyDescent="0.25">
      <c r="A35" s="1">
        <v>10</v>
      </c>
    </row>
    <row r="36" spans="1:4" x14ac:dyDescent="0.25">
      <c r="A36" s="1">
        <v>20</v>
      </c>
      <c r="B36" s="40" t="s">
        <v>18</v>
      </c>
      <c r="C36" s="41" t="s">
        <v>19</v>
      </c>
    </row>
    <row r="37" spans="1:4" x14ac:dyDescent="0.25">
      <c r="A37" s="1">
        <v>30</v>
      </c>
      <c r="B37" s="36" t="s">
        <v>20</v>
      </c>
      <c r="C37" s="38">
        <f>aporte</f>
        <v>1260</v>
      </c>
    </row>
    <row r="39" spans="1:4" x14ac:dyDescent="0.25">
      <c r="B39" s="43" t="s">
        <v>21</v>
      </c>
      <c r="C39" s="43" t="s">
        <v>22</v>
      </c>
      <c r="D39" s="43" t="s">
        <v>23</v>
      </c>
    </row>
    <row r="40" spans="1:4" x14ac:dyDescent="0.25">
      <c r="B40" s="39" t="s">
        <v>24</v>
      </c>
      <c r="C40" s="46">
        <f>VLOOKUP($C$36&amp;"-"&amp;B40,Planilha2!$A:$D,4,FALSE)</f>
        <v>0.05</v>
      </c>
      <c r="D40" s="37">
        <f>C40*$C$37</f>
        <v>63</v>
      </c>
    </row>
    <row r="41" spans="1:4" x14ac:dyDescent="0.25">
      <c r="B41" s="39" t="s">
        <v>25</v>
      </c>
      <c r="C41" s="46">
        <f>VLOOKUP($C$36&amp;"-"&amp;B41,Planilha2!$A:$D,4,FALSE)</f>
        <v>0.5</v>
      </c>
      <c r="D41" s="37">
        <f t="shared" ref="D41:D46" si="0">C41*$C$37</f>
        <v>630</v>
      </c>
    </row>
    <row r="42" spans="1:4" x14ac:dyDescent="0.25">
      <c r="B42" s="39" t="s">
        <v>26</v>
      </c>
      <c r="C42" s="46">
        <f>VLOOKUP($C$36&amp;"-"&amp;B42,Planilha2!$A:$D,4,FALSE)</f>
        <v>0.25</v>
      </c>
      <c r="D42" s="37">
        <f t="shared" si="0"/>
        <v>315</v>
      </c>
    </row>
    <row r="43" spans="1:4" x14ac:dyDescent="0.25">
      <c r="B43" s="39" t="s">
        <v>27</v>
      </c>
      <c r="C43" s="46">
        <f>VLOOKUP($C$36&amp;"-"&amp;B43,Planilha2!$A:$D,4,FALSE)</f>
        <v>0.1</v>
      </c>
      <c r="D43" s="37">
        <f t="shared" si="0"/>
        <v>126</v>
      </c>
    </row>
    <row r="44" spans="1:4" x14ac:dyDescent="0.25">
      <c r="B44" s="39" t="s">
        <v>28</v>
      </c>
      <c r="C44" s="46">
        <f>VLOOKUP($C$36&amp;"-"&amp;B44,Planilha2!$A:$D,4,FALSE)</f>
        <v>0.04</v>
      </c>
      <c r="D44" s="37">
        <f t="shared" si="0"/>
        <v>50.4</v>
      </c>
    </row>
    <row r="45" spans="1:4" x14ac:dyDescent="0.25">
      <c r="B45" s="39" t="s">
        <v>29</v>
      </c>
      <c r="C45" s="46">
        <f>VLOOKUP($C$36&amp;"-"&amp;B45,Planilha2!$A:$D,4,FALSE)</f>
        <v>3.5000000000000003E-2</v>
      </c>
      <c r="D45" s="37">
        <f t="shared" si="0"/>
        <v>44.1</v>
      </c>
    </row>
    <row r="46" spans="1:4" x14ac:dyDescent="0.25">
      <c r="B46" s="39" t="s">
        <v>30</v>
      </c>
      <c r="C46" s="46">
        <f>VLOOKUP($C$36&amp;"-"&amp;B46,Planilha2!$A:$D,4,FALSE)</f>
        <v>2.5000000000000001E-2</v>
      </c>
      <c r="D46" s="37">
        <f t="shared" si="0"/>
        <v>31.5</v>
      </c>
    </row>
    <row r="47" spans="1:4" x14ac:dyDescent="0.25">
      <c r="B47" s="44"/>
      <c r="C47" s="44"/>
      <c r="D47" s="45">
        <f>SUM(D40:D46)</f>
        <v>1260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</sheetData>
  <mergeCells count="5">
    <mergeCell ref="B16:C16"/>
    <mergeCell ref="B17:C17"/>
    <mergeCell ref="B18:C18"/>
    <mergeCell ref="B20:C20"/>
    <mergeCell ref="B15:C15"/>
  </mergeCells>
  <dataValidations count="1">
    <dataValidation type="list" allowBlank="1" showInputMessage="1" showErrorMessage="1" sqref="C36" xr:uid="{2BB5E246-3E3D-4EA5-81E6-32CA5918FBC2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34C49-2DC7-4F1B-8CFD-DF327046DC7A}">
  <dimension ref="A1:J22"/>
  <sheetViews>
    <sheetView workbookViewId="0">
      <selection activeCell="K29" sqref="K29"/>
    </sheetView>
  </sheetViews>
  <sheetFormatPr defaultRowHeight="15" x14ac:dyDescent="0.25"/>
  <cols>
    <col min="1" max="1" width="33" bestFit="1" customWidth="1"/>
    <col min="2" max="2" width="31.85546875" customWidth="1"/>
    <col min="3" max="3" width="12.140625" bestFit="1" customWidth="1"/>
    <col min="9" max="9" width="19.42578125" bestFit="1" customWidth="1"/>
    <col min="10" max="10" width="8.5703125" bestFit="1" customWidth="1"/>
  </cols>
  <sheetData>
    <row r="1" spans="1:10" x14ac:dyDescent="0.25">
      <c r="A1" s="35" t="s">
        <v>33</v>
      </c>
      <c r="B1" s="35" t="s">
        <v>21</v>
      </c>
      <c r="C1" s="35" t="s">
        <v>18</v>
      </c>
      <c r="D1" s="35" t="s">
        <v>32</v>
      </c>
    </row>
    <row r="2" spans="1:10" x14ac:dyDescent="0.25">
      <c r="A2" t="str">
        <f>C2&amp;"-"&amp;B2</f>
        <v>Conservador-Renda Fixa</v>
      </c>
      <c r="B2" s="39" t="s">
        <v>24</v>
      </c>
      <c r="C2" t="s">
        <v>31</v>
      </c>
      <c r="D2" s="42">
        <v>0.5</v>
      </c>
    </row>
    <row r="3" spans="1:10" x14ac:dyDescent="0.25">
      <c r="A3" t="str">
        <f t="shared" ref="A3:A22" si="0">C3&amp;"-"&amp;B3</f>
        <v>Conservador-FII - Papel</v>
      </c>
      <c r="B3" s="39" t="s">
        <v>25</v>
      </c>
      <c r="C3" t="s">
        <v>31</v>
      </c>
      <c r="D3" s="42">
        <v>0.25</v>
      </c>
      <c r="J3" t="s">
        <v>32</v>
      </c>
    </row>
    <row r="4" spans="1:10" x14ac:dyDescent="0.25">
      <c r="A4" t="str">
        <f t="shared" si="0"/>
        <v>Conservador-FII- Tijolo</v>
      </c>
      <c r="B4" s="39" t="s">
        <v>26</v>
      </c>
      <c r="C4" t="s">
        <v>31</v>
      </c>
      <c r="D4" s="42">
        <v>0.15</v>
      </c>
      <c r="I4" s="35" t="s">
        <v>35</v>
      </c>
      <c r="J4" s="52">
        <f>VLOOKUP(I4,$A:$D,4,FALSE)</f>
        <v>0.2</v>
      </c>
    </row>
    <row r="5" spans="1:10" x14ac:dyDescent="0.25">
      <c r="A5" t="str">
        <f t="shared" si="0"/>
        <v>Conservador-FII - Hibridos</v>
      </c>
      <c r="B5" s="39" t="s">
        <v>27</v>
      </c>
      <c r="C5" t="s">
        <v>31</v>
      </c>
      <c r="D5" s="42">
        <v>0.1</v>
      </c>
    </row>
    <row r="6" spans="1:10" x14ac:dyDescent="0.25">
      <c r="A6" t="str">
        <f t="shared" si="0"/>
        <v>Conservador-FII - Fofs</v>
      </c>
      <c r="B6" s="39" t="s">
        <v>28</v>
      </c>
      <c r="C6" t="s">
        <v>31</v>
      </c>
      <c r="D6" s="42">
        <v>0</v>
      </c>
    </row>
    <row r="7" spans="1:10" x14ac:dyDescent="0.25">
      <c r="A7" t="str">
        <f t="shared" si="0"/>
        <v>Conservador-FII - Desenvolvimento</v>
      </c>
      <c r="B7" s="39" t="s">
        <v>29</v>
      </c>
      <c r="C7" t="s">
        <v>31</v>
      </c>
      <c r="D7" s="42">
        <v>0</v>
      </c>
    </row>
    <row r="8" spans="1:10" ht="15.75" thickBot="1" x14ac:dyDescent="0.3">
      <c r="A8" s="47" t="str">
        <f t="shared" si="0"/>
        <v>Conservador-FII - Hotelarias</v>
      </c>
      <c r="B8" s="48" t="s">
        <v>30</v>
      </c>
      <c r="C8" s="47" t="s">
        <v>31</v>
      </c>
      <c r="D8" s="49">
        <v>0</v>
      </c>
    </row>
    <row r="9" spans="1:10" x14ac:dyDescent="0.25">
      <c r="A9" t="str">
        <f t="shared" si="0"/>
        <v>Moderado-Renda Fixa</v>
      </c>
      <c r="B9" s="39" t="s">
        <v>24</v>
      </c>
      <c r="C9" t="s">
        <v>34</v>
      </c>
      <c r="D9" s="42">
        <v>0.25</v>
      </c>
    </row>
    <row r="10" spans="1:10" x14ac:dyDescent="0.25">
      <c r="A10" t="str">
        <f t="shared" si="0"/>
        <v>Moderado-FII - Papel</v>
      </c>
      <c r="B10" s="39" t="s">
        <v>25</v>
      </c>
      <c r="C10" t="s">
        <v>34</v>
      </c>
      <c r="D10" s="42">
        <v>0.4</v>
      </c>
    </row>
    <row r="11" spans="1:10" x14ac:dyDescent="0.25">
      <c r="A11" t="str">
        <f t="shared" si="0"/>
        <v>Moderado-FII- Tijolo</v>
      </c>
      <c r="B11" s="39" t="s">
        <v>26</v>
      </c>
      <c r="C11" t="s">
        <v>34</v>
      </c>
      <c r="D11" s="42">
        <v>0.2</v>
      </c>
    </row>
    <row r="12" spans="1:10" x14ac:dyDescent="0.25">
      <c r="A12" t="str">
        <f t="shared" si="0"/>
        <v>Moderado-FII - Hibridos</v>
      </c>
      <c r="B12" s="39" t="s">
        <v>27</v>
      </c>
      <c r="C12" t="s">
        <v>34</v>
      </c>
      <c r="D12" s="42">
        <v>0.05</v>
      </c>
    </row>
    <row r="13" spans="1:10" x14ac:dyDescent="0.25">
      <c r="A13" t="str">
        <f t="shared" si="0"/>
        <v>Moderado-FII - Fofs</v>
      </c>
      <c r="B13" s="39" t="s">
        <v>28</v>
      </c>
      <c r="C13" t="s">
        <v>34</v>
      </c>
      <c r="D13" s="42">
        <v>0.04</v>
      </c>
    </row>
    <row r="14" spans="1:10" x14ac:dyDescent="0.25">
      <c r="A14" t="str">
        <f t="shared" si="0"/>
        <v>Moderado-FII - Desenvolvimento</v>
      </c>
      <c r="B14" s="39" t="s">
        <v>29</v>
      </c>
      <c r="C14" t="s">
        <v>34</v>
      </c>
      <c r="D14" s="42">
        <v>0.03</v>
      </c>
    </row>
    <row r="15" spans="1:10" ht="15.75" thickBot="1" x14ac:dyDescent="0.3">
      <c r="A15" s="47" t="str">
        <f t="shared" si="0"/>
        <v>Moderado-FII - Hotelarias</v>
      </c>
      <c r="B15" s="48" t="s">
        <v>30</v>
      </c>
      <c r="C15" s="47" t="s">
        <v>34</v>
      </c>
      <c r="D15" s="51">
        <v>2.5000000000000001E-2</v>
      </c>
    </row>
    <row r="16" spans="1:10" x14ac:dyDescent="0.25">
      <c r="A16" t="str">
        <f t="shared" si="0"/>
        <v>Agressivo-Renda Fixa</v>
      </c>
      <c r="B16" s="39" t="s">
        <v>24</v>
      </c>
      <c r="C16" t="s">
        <v>19</v>
      </c>
      <c r="D16" s="42">
        <v>0.05</v>
      </c>
    </row>
    <row r="17" spans="1:9" x14ac:dyDescent="0.25">
      <c r="A17" t="str">
        <f t="shared" si="0"/>
        <v>Agressivo-FII - Papel</v>
      </c>
      <c r="B17" s="39" t="s">
        <v>25</v>
      </c>
      <c r="C17" t="s">
        <v>19</v>
      </c>
      <c r="D17" s="42">
        <v>0.5</v>
      </c>
      <c r="G17" s="39"/>
      <c r="I17" s="42"/>
    </row>
    <row r="18" spans="1:9" x14ac:dyDescent="0.25">
      <c r="A18" t="str">
        <f t="shared" si="0"/>
        <v>Agressivo-FII- Tijolo</v>
      </c>
      <c r="B18" s="39" t="s">
        <v>26</v>
      </c>
      <c r="C18" t="s">
        <v>19</v>
      </c>
      <c r="D18" s="42">
        <v>0.25</v>
      </c>
    </row>
    <row r="19" spans="1:9" x14ac:dyDescent="0.25">
      <c r="A19" t="str">
        <f t="shared" si="0"/>
        <v>Agressivo-FII - Hibridos</v>
      </c>
      <c r="B19" s="39" t="s">
        <v>27</v>
      </c>
      <c r="C19" t="s">
        <v>19</v>
      </c>
      <c r="D19" s="42">
        <v>0.1</v>
      </c>
    </row>
    <row r="20" spans="1:9" x14ac:dyDescent="0.25">
      <c r="A20" t="str">
        <f t="shared" si="0"/>
        <v>Agressivo-FII - Fofs</v>
      </c>
      <c r="B20" s="39" t="s">
        <v>28</v>
      </c>
      <c r="C20" t="s">
        <v>19</v>
      </c>
      <c r="D20" s="42">
        <v>0.04</v>
      </c>
    </row>
    <row r="21" spans="1:9" x14ac:dyDescent="0.25">
      <c r="A21" t="str">
        <f t="shared" si="0"/>
        <v>Agressivo-FII - Desenvolvimento</v>
      </c>
      <c r="B21" s="39" t="s">
        <v>29</v>
      </c>
      <c r="C21" t="s">
        <v>19</v>
      </c>
      <c r="D21" s="50">
        <v>3.5000000000000003E-2</v>
      </c>
    </row>
    <row r="22" spans="1:9" ht="15.75" thickBot="1" x14ac:dyDescent="0.3">
      <c r="A22" s="47" t="str">
        <f t="shared" si="0"/>
        <v>Agressivo-FII - Hotelarias</v>
      </c>
      <c r="B22" s="48" t="s">
        <v>30</v>
      </c>
      <c r="C22" s="47" t="s">
        <v>19</v>
      </c>
      <c r="D22" s="49">
        <v>2.5000000000000001E-2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Felipe</cp:lastModifiedBy>
  <dcterms:created xsi:type="dcterms:W3CDTF">2026-09-04T12:44:37Z</dcterms:created>
  <dcterms:modified xsi:type="dcterms:W3CDTF">2026-09-11T00:45:21Z</dcterms:modified>
</cp:coreProperties>
</file>